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tkumar/Desktop/MSc Business Analytics/MS5107 Business modelling and analytics/Assignments/"/>
    </mc:Choice>
  </mc:AlternateContent>
  <xr:revisionPtr revIDLastSave="0" documentId="13_ncr:1_{DA1788C7-3EDE-764D-8E96-E6146F5D9083}" xr6:coauthVersionLast="47" xr6:coauthVersionMax="47" xr10:uidLastSave="{00000000-0000-0000-0000-000000000000}"/>
  <bookViews>
    <workbookView xWindow="1260" yWindow="500" windowWidth="25380" windowHeight="16000" activeTab="1" xr2:uid="{598B84DB-FF92-9E49-B573-321A43AB1FA5}"/>
  </bookViews>
  <sheets>
    <sheet name="Answer Report 1" sheetId="35" r:id="rId1"/>
    <sheet name="Sensitivity Report 1" sheetId="36" r:id="rId2"/>
    <sheet name="Limits Report 1" sheetId="37" r:id="rId3"/>
    <sheet name="Sheet1" sheetId="1" r:id="rId4"/>
  </sheets>
  <definedNames>
    <definedName name="solver_adj" localSheetId="3" hidden="1">Sheet1!$D$4:$H$4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itr" localSheetId="3" hidden="1">2147483647</definedName>
    <definedName name="solver_lhs1" localSheetId="3" hidden="1">Sheet1!$G$13</definedName>
    <definedName name="solver_lhs10" localSheetId="3" hidden="1">Sheet1!$I$9</definedName>
    <definedName name="solver_lhs2" localSheetId="3" hidden="1">Sheet1!$H$14</definedName>
    <definedName name="solver_lhs3" localSheetId="3" hidden="1">Sheet1!$I$10</definedName>
    <definedName name="solver_lhs4" localSheetId="3" hidden="1">Sheet1!$I$11</definedName>
    <definedName name="solver_lhs5" localSheetId="3" hidden="1">Sheet1!$I$12</definedName>
    <definedName name="solver_lhs6" localSheetId="3" hidden="1">Sheet1!$I$15</definedName>
    <definedName name="solver_lhs7" localSheetId="3" hidden="1">Sheet1!$I$16</definedName>
    <definedName name="solver_lhs8" localSheetId="3" hidden="1">Sheet1!$I$8</definedName>
    <definedName name="solver_lhs9" localSheetId="3" hidden="1">Sheet1!$I$9</definedName>
    <definedName name="solver_lin" localSheetId="3" hidden="1">1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9</definedName>
    <definedName name="solver_opt" localSheetId="3" hidden="1">Sheet1!$I$5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10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el7" localSheetId="3" hidden="1">2</definedName>
    <definedName name="solver_rel8" localSheetId="3" hidden="1">1</definedName>
    <definedName name="solver_rel9" localSheetId="3" hidden="1">1</definedName>
    <definedName name="solver_rhs1" localSheetId="3" hidden="1">Sheet1!$K$13</definedName>
    <definedName name="solver_rhs10" localSheetId="3" hidden="1">Sheet1!$K$9</definedName>
    <definedName name="solver_rhs2" localSheetId="3" hidden="1">Sheet1!$K$14</definedName>
    <definedName name="solver_rhs3" localSheetId="3" hidden="1">Sheet1!$K$10</definedName>
    <definedName name="solver_rhs4" localSheetId="3" hidden="1">Sheet1!$K$11</definedName>
    <definedName name="solver_rhs5" localSheetId="3" hidden="1">Sheet1!$K$12</definedName>
    <definedName name="solver_rhs6" localSheetId="3" hidden="1">Sheet1!$K$15</definedName>
    <definedName name="solver_rhs7" localSheetId="3" hidden="1">Sheet1!$K$16</definedName>
    <definedName name="solver_rhs8" localSheetId="3" hidden="1">Sheet1!$K$8</definedName>
    <definedName name="solver_rhs9" localSheetId="3" hidden="1">Sheet1!$K$9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K16" i="1"/>
  <c r="I16" i="1"/>
  <c r="I4" i="1"/>
  <c r="I15" i="1"/>
  <c r="K15" i="1"/>
  <c r="H14" i="1"/>
  <c r="G13" i="1"/>
  <c r="I11" i="1"/>
  <c r="I10" i="1"/>
  <c r="I9" i="1"/>
  <c r="I8" i="1"/>
  <c r="I12" i="1" l="1"/>
</calcChain>
</file>

<file path=xl/sharedStrings.xml><?xml version="1.0" encoding="utf-8"?>
<sst xmlns="http://schemas.openxmlformats.org/spreadsheetml/2006/main" count="205" uniqueCount="103">
  <si>
    <t>X1</t>
  </si>
  <si>
    <t>X2</t>
  </si>
  <si>
    <t>X3</t>
  </si>
  <si>
    <t>Obj. function</t>
  </si>
  <si>
    <t>&lt;=</t>
  </si>
  <si>
    <t>Microsoft Excel 16.89 Answer Report</t>
  </si>
  <si>
    <t>Result: Solver found a solution.  All constraints and optimality conditions are satisfied.</t>
  </si>
  <si>
    <t>Solver Engine</t>
  </si>
  <si>
    <t>Engine: Simplex LP</t>
  </si>
  <si>
    <t>Solver Options</t>
  </si>
  <si>
    <t>Max Time Unlimited,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</si>
  <si>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</si>
  <si>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</si>
  <si>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</si>
  <si>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</si>
  <si>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</si>
  <si>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</si>
  <si>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</si>
  <si>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</si>
  <si>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</si>
  <si>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</si>
  <si>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</si>
  <si>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</si>
  <si>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</si>
  <si>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Contin</t>
  </si>
  <si>
    <t>$D$4</t>
  </si>
  <si>
    <t>Not Binding</t>
  </si>
  <si>
    <t>Binding</t>
  </si>
  <si>
    <t>Microsoft Excel 16.89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</si>
  <si>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</si>
  <si>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</si>
  <si>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</si>
  <si>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</si>
  <si>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</si>
  <si>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</si>
  <si>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</si>
  <si>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</si>
  <si>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</si>
  <si>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</si>
  <si>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</si>
  <si>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</si>
  <si>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</si>
  <si>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16.89 Limits Report</t>
  </si>
  <si>
    <t>Variable</t>
  </si>
  <si>
    <t>Lower</t>
  </si>
  <si>
    <t>Limit</t>
  </si>
  <si>
    <t>Result</t>
  </si>
  <si>
    <t>Upper</t>
  </si>
  <si>
    <t>Ligth Beer</t>
  </si>
  <si>
    <t>Lager</t>
  </si>
  <si>
    <t>Ale</t>
  </si>
  <si>
    <t>Hops (g)</t>
  </si>
  <si>
    <t>Yeast (g)</t>
  </si>
  <si>
    <t>Barley (g)</t>
  </si>
  <si>
    <t>Brewing time (sec)</t>
  </si>
  <si>
    <t>Cans</t>
  </si>
  <si>
    <t>Bottles</t>
  </si>
  <si>
    <t>Packaging time (sec)</t>
  </si>
  <si>
    <t>Cans capacity</t>
  </si>
  <si>
    <t>Bottles capacity</t>
  </si>
  <si>
    <t>Limits</t>
  </si>
  <si>
    <t>A</t>
  </si>
  <si>
    <t>B</t>
  </si>
  <si>
    <t>Cans and bottle relation</t>
  </si>
  <si>
    <t>Decision Variable</t>
  </si>
  <si>
    <t>Obiective (maximize)</t>
  </si>
  <si>
    <t>Worksheet: [Assignment_1_business_modelling.xlsx]Sheet1</t>
  </si>
  <si>
    <t>$I$5</t>
  </si>
  <si>
    <t>$E$4</t>
  </si>
  <si>
    <t>$F$4</t>
  </si>
  <si>
    <t>$G$4</t>
  </si>
  <si>
    <t>$H$4</t>
  </si>
  <si>
    <t>$I$10</t>
  </si>
  <si>
    <t>$I$10&lt;=$K$10</t>
  </si>
  <si>
    <t>$I$11</t>
  </si>
  <si>
    <t>$I$11&lt;=$K$11</t>
  </si>
  <si>
    <t>$I$8</t>
  </si>
  <si>
    <t>$I$8&lt;=$K$8</t>
  </si>
  <si>
    <t>$I$9</t>
  </si>
  <si>
    <t>$I$9&lt;=$K$9</t>
  </si>
  <si>
    <t>$G$13</t>
  </si>
  <si>
    <t>Cans capacity Constraints</t>
  </si>
  <si>
    <t>$G$13&lt;=$K$13</t>
  </si>
  <si>
    <t>$H$14</t>
  </si>
  <si>
    <t>Bottles capacity B</t>
  </si>
  <si>
    <t>$H$14&lt;=$K$14</t>
  </si>
  <si>
    <t>$I$12</t>
  </si>
  <si>
    <t>$I$12&lt;=$K$12</t>
  </si>
  <si>
    <t>$I$15</t>
  </si>
  <si>
    <t>$I$15&lt;=$K$15</t>
  </si>
  <si>
    <t>=</t>
  </si>
  <si>
    <t>$I$16</t>
  </si>
  <si>
    <t>$I$16=$K$16</t>
  </si>
  <si>
    <t>Decision Variables</t>
  </si>
  <si>
    <t>Total no. of cans and bottles</t>
  </si>
  <si>
    <t>Decision Variables X1</t>
  </si>
  <si>
    <t>Decision Variables X2</t>
  </si>
  <si>
    <t>Decision Variables X3</t>
  </si>
  <si>
    <t>Decision Variables A</t>
  </si>
  <si>
    <t>Decision Variables B</t>
  </si>
  <si>
    <t>Iterations: 4 Subproblems: 0</t>
  </si>
  <si>
    <t>Report Created: 27/10/24 3:14:56 PM</t>
  </si>
  <si>
    <t>Solution Time: 581.627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</si>
</sst>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FF8E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3" borderId="6" xfId="0" applyFill="1" applyBorder="1"/>
    <xf numFmtId="0" fontId="0" fillId="0" borderId="6" xfId="0" applyBorder="1"/>
    <xf numFmtId="0" fontId="0" fillId="4" borderId="6" xfId="0" applyFill="1" applyBorder="1"/>
    <xf numFmtId="0" fontId="0" fillId="0" borderId="7" xfId="0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6" borderId="10" xfId="0" applyFill="1" applyBorder="1"/>
    <xf numFmtId="0" fontId="0" fillId="6" borderId="11" xfId="0" applyFill="1" applyBorder="1"/>
    <xf numFmtId="0" fontId="0" fillId="0" borderId="12" xfId="0" applyBorder="1"/>
    <xf numFmtId="0" fontId="0" fillId="3" borderId="13" xfId="0" applyFill="1" applyBorder="1"/>
    <xf numFmtId="0" fontId="0" fillId="3" borderId="12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18" xfId="0" applyFill="1" applyBorder="1"/>
    <xf numFmtId="0" fontId="0" fillId="3" borderId="19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6" borderId="15" xfId="0" applyFill="1" applyBorder="1"/>
    <xf numFmtId="0" fontId="0" fillId="0" borderId="24" xfId="0" applyBorder="1"/>
    <xf numFmtId="0" fontId="0" fillId="5" borderId="25" xfId="0" applyFill="1" applyBorder="1"/>
    <xf numFmtId="0" fontId="0" fillId="0" borderId="26" xfId="0" applyBorder="1"/>
    <xf numFmtId="0" fontId="0" fillId="4" borderId="19" xfId="0" applyFont="1" applyFill="1" applyBorder="1"/>
    <xf numFmtId="0" fontId="0" fillId="0" borderId="27" xfId="0" applyBorder="1"/>
    <xf numFmtId="0" fontId="0" fillId="0" borderId="4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2" fillId="0" borderId="13" xfId="0" applyFont="1" applyBorder="1"/>
    <xf numFmtId="0" fontId="2" fillId="0" borderId="7" xfId="0" applyFont="1" applyBorder="1"/>
    <xf numFmtId="0" fontId="0" fillId="2" borderId="12" xfId="0" applyFill="1" applyBorder="1"/>
    <xf numFmtId="0" fontId="0" fillId="2" borderId="6" xfId="0" applyFill="1" applyBorder="1"/>
    <xf numFmtId="0" fontId="0" fillId="3" borderId="22" xfId="0" quotePrefix="1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F8E"/>
      <color rgb="FFFFFCAE"/>
      <color rgb="FFF1F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289C-6AE8-4341-99C0-257C0C40B3C4}">
  <dimension ref="A1:G38"/>
  <sheetViews>
    <sheetView showGridLines="0" topLeftCell="A9" workbookViewId="0"/>
  </sheetViews>
  <sheetFormatPr baseColWidth="10" defaultRowHeight="16" x14ac:dyDescent="0.2"/>
  <cols>
    <col min="1" max="1" width="2.33203125" customWidth="1"/>
    <col min="2" max="2" width="6.5" bestFit="1" customWidth="1"/>
    <col min="3" max="3" width="23.6640625" bestFit="1" customWidth="1"/>
    <col min="4" max="4" width="12.6640625" bestFit="1" customWidth="1"/>
    <col min="5" max="5" width="13.5" bestFit="1" customWidth="1"/>
    <col min="6" max="6" width="10.5" bestFit="1" customWidth="1"/>
    <col min="7" max="7" width="7.1640625" bestFit="1" customWidth="1"/>
  </cols>
  <sheetData>
    <row r="1" spans="1:5" x14ac:dyDescent="0.2">
      <c r="A1" s="1" t="s">
        <v>5</v>
      </c>
    </row>
    <row r="2" spans="1:5" x14ac:dyDescent="0.2">
      <c r="A2" s="1" t="s">
        <v>66</v>
      </c>
    </row>
    <row r="3" spans="1:5" x14ac:dyDescent="0.2">
      <c r="A3" s="1" t="s">
        <v>101</v>
      </c>
    </row>
    <row r="4" spans="1:5" x14ac:dyDescent="0.2">
      <c r="A4" s="1" t="s">
        <v>6</v>
      </c>
    </row>
    <row r="5" spans="1:5" x14ac:dyDescent="0.2">
      <c r="A5" s="1" t="s">
        <v>7</v>
      </c>
    </row>
    <row r="6" spans="1:5" x14ac:dyDescent="0.2">
      <c r="A6" s="1"/>
      <c r="B6" t="s">
        <v>8</v>
      </c>
    </row>
    <row r="7" spans="1:5" x14ac:dyDescent="0.2">
      <c r="A7" s="1"/>
      <c r="B7" t="s">
        <v>102</v>
      </c>
    </row>
    <row r="8" spans="1:5" x14ac:dyDescent="0.2">
      <c r="A8" s="1"/>
      <c r="B8" t="s">
        <v>100</v>
      </c>
    </row>
    <row r="9" spans="1:5" x14ac:dyDescent="0.2">
      <c r="A9" s="1" t="s">
        <v>9</v>
      </c>
    </row>
    <row r="10" spans="1:5" x14ac:dyDescent="0.2">
      <c r="B10" t="s">
        <v>10</v>
      </c>
    </row>
    <row r="11" spans="1:5" x14ac:dyDescent="0.2">
      <c r="B11" t="s">
        <v>11</v>
      </c>
    </row>
    <row r="14" spans="1:5" ht="17" thickBot="1" x14ac:dyDescent="0.25">
      <c r="A14" t="s">
        <v>12</v>
      </c>
    </row>
    <row r="15" spans="1:5" ht="17" thickBot="1" x14ac:dyDescent="0.25">
      <c r="B15" s="34" t="s">
        <v>13</v>
      </c>
      <c r="C15" s="34" t="s">
        <v>14</v>
      </c>
      <c r="D15" s="34" t="s">
        <v>15</v>
      </c>
      <c r="E15" s="34" t="s">
        <v>16</v>
      </c>
    </row>
    <row r="16" spans="1:5" ht="17" thickBot="1" x14ac:dyDescent="0.25">
      <c r="B16" s="33" t="s">
        <v>67</v>
      </c>
      <c r="C16" s="33" t="s">
        <v>3</v>
      </c>
      <c r="D16" s="36">
        <v>-1400</v>
      </c>
      <c r="E16" s="36">
        <v>27206.250000000004</v>
      </c>
    </row>
    <row r="19" spans="1:7" ht="17" thickBot="1" x14ac:dyDescent="0.25">
      <c r="A19" t="s">
        <v>17</v>
      </c>
    </row>
    <row r="20" spans="1:7" ht="17" thickBot="1" x14ac:dyDescent="0.25">
      <c r="B20" s="34" t="s">
        <v>13</v>
      </c>
      <c r="C20" s="34" t="s">
        <v>14</v>
      </c>
      <c r="D20" s="34" t="s">
        <v>15</v>
      </c>
      <c r="E20" s="34" t="s">
        <v>16</v>
      </c>
      <c r="F20" s="34" t="s">
        <v>18</v>
      </c>
    </row>
    <row r="21" spans="1:7" x14ac:dyDescent="0.2">
      <c r="B21" s="35" t="s">
        <v>25</v>
      </c>
      <c r="C21" s="35" t="s">
        <v>95</v>
      </c>
      <c r="D21" s="37">
        <v>0</v>
      </c>
      <c r="E21" s="37">
        <v>1062.5</v>
      </c>
      <c r="F21" s="35" t="s">
        <v>24</v>
      </c>
    </row>
    <row r="22" spans="1:7" x14ac:dyDescent="0.2">
      <c r="B22" s="35" t="s">
        <v>68</v>
      </c>
      <c r="C22" s="35" t="s">
        <v>96</v>
      </c>
      <c r="D22" s="37">
        <v>0</v>
      </c>
      <c r="E22" s="37">
        <v>0</v>
      </c>
      <c r="F22" s="35" t="s">
        <v>24</v>
      </c>
    </row>
    <row r="23" spans="1:7" x14ac:dyDescent="0.2">
      <c r="B23" s="35" t="s">
        <v>69</v>
      </c>
      <c r="C23" s="35" t="s">
        <v>97</v>
      </c>
      <c r="D23" s="37">
        <v>0</v>
      </c>
      <c r="E23" s="37">
        <v>1187.5000000000002</v>
      </c>
      <c r="F23" s="35" t="s">
        <v>24</v>
      </c>
    </row>
    <row r="24" spans="1:7" x14ac:dyDescent="0.2">
      <c r="B24" s="35" t="s">
        <v>70</v>
      </c>
      <c r="C24" s="35" t="s">
        <v>98</v>
      </c>
      <c r="D24" s="37">
        <v>0</v>
      </c>
      <c r="E24" s="37">
        <v>1799.9999999999998</v>
      </c>
      <c r="F24" s="35" t="s">
        <v>24</v>
      </c>
    </row>
    <row r="25" spans="1:7" ht="17" thickBot="1" x14ac:dyDescent="0.25">
      <c r="B25" s="33" t="s">
        <v>71</v>
      </c>
      <c r="C25" s="33" t="s">
        <v>99</v>
      </c>
      <c r="D25" s="36">
        <v>0</v>
      </c>
      <c r="E25" s="36">
        <v>2700.0000000000005</v>
      </c>
      <c r="F25" s="33" t="s">
        <v>24</v>
      </c>
    </row>
    <row r="28" spans="1:7" ht="17" thickBot="1" x14ac:dyDescent="0.25">
      <c r="A28" t="s">
        <v>19</v>
      </c>
    </row>
    <row r="29" spans="1:7" ht="17" thickBot="1" x14ac:dyDescent="0.25">
      <c r="B29" s="34" t="s">
        <v>13</v>
      </c>
      <c r="C29" s="34" t="s">
        <v>14</v>
      </c>
      <c r="D29" s="34" t="s">
        <v>20</v>
      </c>
      <c r="E29" s="34" t="s">
        <v>21</v>
      </c>
      <c r="F29" s="34" t="s">
        <v>22</v>
      </c>
      <c r="G29" s="34" t="s">
        <v>23</v>
      </c>
    </row>
    <row r="30" spans="1:7" x14ac:dyDescent="0.2">
      <c r="B30" s="35" t="s">
        <v>80</v>
      </c>
      <c r="C30" s="35" t="s">
        <v>81</v>
      </c>
      <c r="D30" s="37">
        <v>1799.9999999999998</v>
      </c>
      <c r="E30" s="35" t="s">
        <v>82</v>
      </c>
      <c r="F30" s="35" t="s">
        <v>26</v>
      </c>
      <c r="G30" s="35">
        <v>2200</v>
      </c>
    </row>
    <row r="31" spans="1:7" x14ac:dyDescent="0.2">
      <c r="B31" s="35" t="s">
        <v>83</v>
      </c>
      <c r="C31" s="35" t="s">
        <v>84</v>
      </c>
      <c r="D31" s="37">
        <v>2700.0000000000005</v>
      </c>
      <c r="E31" s="35" t="s">
        <v>85</v>
      </c>
      <c r="F31" s="35" t="s">
        <v>26</v>
      </c>
      <c r="G31" s="35">
        <v>5300</v>
      </c>
    </row>
    <row r="32" spans="1:7" x14ac:dyDescent="0.2">
      <c r="B32" s="35" t="s">
        <v>72</v>
      </c>
      <c r="C32" s="35" t="s">
        <v>53</v>
      </c>
      <c r="D32" s="37">
        <v>182500.00000000003</v>
      </c>
      <c r="E32" s="35" t="s">
        <v>73</v>
      </c>
      <c r="F32" s="35" t="s">
        <v>26</v>
      </c>
      <c r="G32" s="35">
        <v>7499.9999999999709</v>
      </c>
    </row>
    <row r="33" spans="2:7" x14ac:dyDescent="0.2">
      <c r="B33" s="35" t="s">
        <v>74</v>
      </c>
      <c r="C33" s="35" t="s">
        <v>54</v>
      </c>
      <c r="D33" s="37">
        <v>720000.00000000012</v>
      </c>
      <c r="E33" s="35" t="s">
        <v>75</v>
      </c>
      <c r="F33" s="35" t="s">
        <v>27</v>
      </c>
      <c r="G33" s="35">
        <v>0</v>
      </c>
    </row>
    <row r="34" spans="2:7" x14ac:dyDescent="0.2">
      <c r="B34" s="35" t="s">
        <v>86</v>
      </c>
      <c r="C34" s="35" t="s">
        <v>57</v>
      </c>
      <c r="D34" s="37">
        <v>175500</v>
      </c>
      <c r="E34" s="35" t="s">
        <v>87</v>
      </c>
      <c r="F34" s="35" t="s">
        <v>26</v>
      </c>
      <c r="G34" s="35">
        <v>184500</v>
      </c>
    </row>
    <row r="35" spans="2:7" x14ac:dyDescent="0.2">
      <c r="B35" s="35" t="s">
        <v>88</v>
      </c>
      <c r="C35" s="35" t="s">
        <v>63</v>
      </c>
      <c r="D35" s="37">
        <v>5399.9999999999991</v>
      </c>
      <c r="E35" s="35" t="s">
        <v>89</v>
      </c>
      <c r="F35" s="35" t="s">
        <v>27</v>
      </c>
      <c r="G35" s="35">
        <v>0</v>
      </c>
    </row>
    <row r="36" spans="2:7" x14ac:dyDescent="0.2">
      <c r="B36" s="35" t="s">
        <v>91</v>
      </c>
      <c r="C36" s="35" t="s">
        <v>94</v>
      </c>
      <c r="D36" s="37">
        <v>4500</v>
      </c>
      <c r="E36" s="35" t="s">
        <v>92</v>
      </c>
      <c r="F36" s="35" t="s">
        <v>27</v>
      </c>
      <c r="G36" s="35">
        <v>0</v>
      </c>
    </row>
    <row r="37" spans="2:7" x14ac:dyDescent="0.2">
      <c r="B37" s="35" t="s">
        <v>76</v>
      </c>
      <c r="C37" s="35" t="s">
        <v>51</v>
      </c>
      <c r="D37" s="37">
        <v>16687.5</v>
      </c>
      <c r="E37" s="35" t="s">
        <v>77</v>
      </c>
      <c r="F37" s="35" t="s">
        <v>26</v>
      </c>
      <c r="G37" s="35">
        <v>3312.5</v>
      </c>
    </row>
    <row r="38" spans="2:7" ht="17" thickBot="1" x14ac:dyDescent="0.25">
      <c r="B38" s="33" t="s">
        <v>78</v>
      </c>
      <c r="C38" s="33" t="s">
        <v>52</v>
      </c>
      <c r="D38" s="36">
        <v>18000</v>
      </c>
      <c r="E38" s="33" t="s">
        <v>79</v>
      </c>
      <c r="F38" s="33" t="s">
        <v>27</v>
      </c>
      <c r="G38" s="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C22D-31D3-DB42-B4E3-72D130FC4D95}">
  <dimension ref="A1:H26"/>
  <sheetViews>
    <sheetView showGridLines="0" tabSelected="1" workbookViewId="0">
      <selection activeCell="M22" sqref="M22"/>
    </sheetView>
  </sheetViews>
  <sheetFormatPr baseColWidth="10" defaultRowHeight="16" x14ac:dyDescent="0.2"/>
  <cols>
    <col min="1" max="1" width="2.33203125" customWidth="1"/>
    <col min="2" max="2" width="6.5" bestFit="1" customWidth="1"/>
    <col min="3" max="3" width="23.6640625" bestFit="1" customWidth="1"/>
    <col min="4" max="4" width="8.1640625" bestFit="1" customWidth="1"/>
    <col min="5" max="5" width="12.83203125" bestFit="1" customWidth="1"/>
    <col min="6" max="6" width="10.5" bestFit="1" customWidth="1"/>
    <col min="7" max="8" width="12.1640625" bestFit="1" customWidth="1"/>
  </cols>
  <sheetData>
    <row r="1" spans="1:8" x14ac:dyDescent="0.2">
      <c r="A1" s="1" t="s">
        <v>28</v>
      </c>
    </row>
    <row r="2" spans="1:8" x14ac:dyDescent="0.2">
      <c r="A2" s="1" t="s">
        <v>66</v>
      </c>
    </row>
    <row r="3" spans="1:8" x14ac:dyDescent="0.2">
      <c r="A3" s="1" t="s">
        <v>101</v>
      </c>
    </row>
    <row r="6" spans="1:8" ht="17" thickBot="1" x14ac:dyDescent="0.25">
      <c r="A6" t="s">
        <v>17</v>
      </c>
    </row>
    <row r="7" spans="1:8" x14ac:dyDescent="0.2">
      <c r="B7" s="38"/>
      <c r="C7" s="38"/>
      <c r="D7" s="38" t="s">
        <v>29</v>
      </c>
      <c r="E7" s="38" t="s">
        <v>31</v>
      </c>
      <c r="F7" s="38" t="s">
        <v>33</v>
      </c>
      <c r="G7" s="38" t="s">
        <v>35</v>
      </c>
      <c r="H7" s="38" t="s">
        <v>35</v>
      </c>
    </row>
    <row r="8" spans="1:8" ht="17" thickBot="1" x14ac:dyDescent="0.25">
      <c r="B8" s="39" t="s">
        <v>13</v>
      </c>
      <c r="C8" s="39" t="s">
        <v>14</v>
      </c>
      <c r="D8" s="39" t="s">
        <v>30</v>
      </c>
      <c r="E8" s="39" t="s">
        <v>32</v>
      </c>
      <c r="F8" s="39" t="s">
        <v>34</v>
      </c>
      <c r="G8" s="39" t="s">
        <v>36</v>
      </c>
      <c r="H8" s="39" t="s">
        <v>37</v>
      </c>
    </row>
    <row r="9" spans="1:8" x14ac:dyDescent="0.2">
      <c r="B9" s="35" t="s">
        <v>25</v>
      </c>
      <c r="C9" s="35" t="s">
        <v>95</v>
      </c>
      <c r="D9" s="35">
        <v>1062.5</v>
      </c>
      <c r="E9" s="35">
        <v>0</v>
      </c>
      <c r="F9" s="35">
        <v>11.5</v>
      </c>
      <c r="G9" s="35">
        <v>2.2999999999999541</v>
      </c>
      <c r="H9" s="35">
        <v>1.3000000000000458</v>
      </c>
    </row>
    <row r="10" spans="1:8" x14ac:dyDescent="0.2">
      <c r="B10" s="35" t="s">
        <v>68</v>
      </c>
      <c r="C10" s="35" t="s">
        <v>96</v>
      </c>
      <c r="D10" s="35">
        <v>0</v>
      </c>
      <c r="E10" s="35">
        <v>-0.54166666666668573</v>
      </c>
      <c r="F10" s="35">
        <v>12.299999999999955</v>
      </c>
      <c r="G10" s="35">
        <v>0.54166666666668573</v>
      </c>
      <c r="H10" s="35">
        <v>1E+30</v>
      </c>
    </row>
    <row r="11" spans="1:8" x14ac:dyDescent="0.2">
      <c r="B11" s="35" t="s">
        <v>69</v>
      </c>
      <c r="C11" s="35" t="s">
        <v>97</v>
      </c>
      <c r="D11" s="35">
        <v>1187.5000000000002</v>
      </c>
      <c r="E11" s="35">
        <v>0</v>
      </c>
      <c r="F11" s="35">
        <v>13.799999999999955</v>
      </c>
      <c r="G11" s="35">
        <v>6.9000000000000483</v>
      </c>
      <c r="H11" s="35">
        <v>0.92857142857146113</v>
      </c>
    </row>
    <row r="12" spans="1:8" x14ac:dyDescent="0.2">
      <c r="B12" s="35" t="s">
        <v>70</v>
      </c>
      <c r="C12" s="35" t="s">
        <v>98</v>
      </c>
      <c r="D12" s="35">
        <v>1799.9999999999998</v>
      </c>
      <c r="E12" s="35">
        <v>0</v>
      </c>
      <c r="F12" s="35">
        <v>0</v>
      </c>
      <c r="G12" s="35">
        <v>1E+30</v>
      </c>
      <c r="H12" s="35">
        <v>0</v>
      </c>
    </row>
    <row r="13" spans="1:8" ht="17" thickBot="1" x14ac:dyDescent="0.25">
      <c r="B13" s="33" t="s">
        <v>71</v>
      </c>
      <c r="C13" s="33" t="s">
        <v>99</v>
      </c>
      <c r="D13" s="33">
        <v>2700.0000000000005</v>
      </c>
      <c r="E13" s="33">
        <v>0</v>
      </c>
      <c r="F13" s="33">
        <v>0</v>
      </c>
      <c r="G13" s="33">
        <v>0</v>
      </c>
      <c r="H13" s="33">
        <v>7.187500000000048</v>
      </c>
    </row>
    <row r="15" spans="1:8" ht="17" thickBot="1" x14ac:dyDescent="0.25">
      <c r="A15" t="s">
        <v>19</v>
      </c>
    </row>
    <row r="16" spans="1:8" x14ac:dyDescent="0.2">
      <c r="B16" s="38"/>
      <c r="C16" s="38"/>
      <c r="D16" s="38" t="s">
        <v>29</v>
      </c>
      <c r="E16" s="38" t="s">
        <v>38</v>
      </c>
      <c r="F16" s="38" t="s">
        <v>40</v>
      </c>
      <c r="G16" s="38" t="s">
        <v>35</v>
      </c>
      <c r="H16" s="38" t="s">
        <v>35</v>
      </c>
    </row>
    <row r="17" spans="2:8" ht="17" thickBot="1" x14ac:dyDescent="0.25">
      <c r="B17" s="39" t="s">
        <v>13</v>
      </c>
      <c r="C17" s="39" t="s">
        <v>14</v>
      </c>
      <c r="D17" s="39" t="s">
        <v>30</v>
      </c>
      <c r="E17" s="39" t="s">
        <v>39</v>
      </c>
      <c r="F17" s="39" t="s">
        <v>41</v>
      </c>
      <c r="G17" s="39" t="s">
        <v>36</v>
      </c>
      <c r="H17" s="39" t="s">
        <v>37</v>
      </c>
    </row>
    <row r="18" spans="2:8" x14ac:dyDescent="0.2">
      <c r="B18" s="35" t="s">
        <v>80</v>
      </c>
      <c r="C18" s="35" t="s">
        <v>81</v>
      </c>
      <c r="D18" s="35">
        <v>1799.9999999999998</v>
      </c>
      <c r="E18" s="35">
        <v>0</v>
      </c>
      <c r="F18" s="35">
        <v>4000</v>
      </c>
      <c r="G18" s="35">
        <v>1E+30</v>
      </c>
      <c r="H18" s="35">
        <v>2200</v>
      </c>
    </row>
    <row r="19" spans="2:8" x14ac:dyDescent="0.2">
      <c r="B19" s="35" t="s">
        <v>83</v>
      </c>
      <c r="C19" s="35" t="s">
        <v>84</v>
      </c>
      <c r="D19" s="35">
        <v>2700.0000000000005</v>
      </c>
      <c r="E19" s="35">
        <v>0</v>
      </c>
      <c r="F19" s="35">
        <v>8000</v>
      </c>
      <c r="G19" s="35">
        <v>1E+30</v>
      </c>
      <c r="H19" s="35">
        <v>5299.9999999999991</v>
      </c>
    </row>
    <row r="20" spans="2:8" x14ac:dyDescent="0.2">
      <c r="B20" s="35" t="s">
        <v>72</v>
      </c>
      <c r="C20" s="35" t="s">
        <v>53</v>
      </c>
      <c r="D20" s="35">
        <v>182500.00000000003</v>
      </c>
      <c r="E20" s="35">
        <v>0</v>
      </c>
      <c r="F20" s="35">
        <v>190000</v>
      </c>
      <c r="G20" s="35">
        <v>1E+30</v>
      </c>
      <c r="H20" s="35">
        <v>7499.99999999999</v>
      </c>
    </row>
    <row r="21" spans="2:8" x14ac:dyDescent="0.2">
      <c r="B21" s="35" t="s">
        <v>74</v>
      </c>
      <c r="C21" s="35" t="s">
        <v>54</v>
      </c>
      <c r="D21" s="35">
        <v>720000.00000000012</v>
      </c>
      <c r="E21" s="35">
        <v>1.2777777777777524E-2</v>
      </c>
      <c r="F21" s="35">
        <v>720000</v>
      </c>
      <c r="G21" s="35">
        <v>33749.999999999956</v>
      </c>
      <c r="H21" s="35">
        <v>198749.99999999988</v>
      </c>
    </row>
    <row r="22" spans="2:8" x14ac:dyDescent="0.2">
      <c r="B22" s="35" t="s">
        <v>86</v>
      </c>
      <c r="C22" s="35" t="s">
        <v>57</v>
      </c>
      <c r="D22" s="35">
        <v>175500</v>
      </c>
      <c r="E22" s="35">
        <v>0</v>
      </c>
      <c r="F22" s="35">
        <v>360000</v>
      </c>
      <c r="G22" s="35">
        <v>1E+30</v>
      </c>
      <c r="H22" s="35">
        <v>184499.99999999997</v>
      </c>
    </row>
    <row r="23" spans="2:8" x14ac:dyDescent="0.2">
      <c r="B23" s="35" t="s">
        <v>88</v>
      </c>
      <c r="C23" s="35" t="s">
        <v>63</v>
      </c>
      <c r="D23" s="35">
        <v>5399.9999999999991</v>
      </c>
      <c r="E23" s="35">
        <v>0</v>
      </c>
      <c r="F23" s="35">
        <v>0</v>
      </c>
      <c r="G23" s="35">
        <v>11000</v>
      </c>
      <c r="H23" s="35">
        <v>8999.9999999999982</v>
      </c>
    </row>
    <row r="24" spans="2:8" x14ac:dyDescent="0.2">
      <c r="B24" s="35" t="s">
        <v>91</v>
      </c>
      <c r="C24" s="35" t="s">
        <v>94</v>
      </c>
      <c r="D24" s="35">
        <v>4500</v>
      </c>
      <c r="E24" s="35">
        <v>3.1086244689504036E-16</v>
      </c>
      <c r="F24" s="35">
        <v>0</v>
      </c>
      <c r="G24" s="35">
        <v>4730.7692307692296</v>
      </c>
      <c r="H24" s="35">
        <v>4500</v>
      </c>
    </row>
    <row r="25" spans="2:8" x14ac:dyDescent="0.2">
      <c r="B25" s="35" t="s">
        <v>76</v>
      </c>
      <c r="C25" s="35" t="s">
        <v>51</v>
      </c>
      <c r="D25" s="35">
        <v>16687.5</v>
      </c>
      <c r="E25" s="35">
        <v>0</v>
      </c>
      <c r="F25" s="35">
        <v>20000</v>
      </c>
      <c r="G25" s="35">
        <v>1E+30</v>
      </c>
      <c r="H25" s="35">
        <v>3312.4999999999986</v>
      </c>
    </row>
    <row r="26" spans="2:8" ht="17" thickBot="1" x14ac:dyDescent="0.25">
      <c r="B26" s="33" t="s">
        <v>78</v>
      </c>
      <c r="C26" s="33" t="s">
        <v>52</v>
      </c>
      <c r="D26" s="33">
        <v>18000</v>
      </c>
      <c r="E26" s="33">
        <v>1.0781250000000073</v>
      </c>
      <c r="F26" s="33">
        <v>18000</v>
      </c>
      <c r="G26" s="33">
        <v>2078.4313725490188</v>
      </c>
      <c r="H26" s="33">
        <v>3777.7777777777778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A13E-3C13-9E49-9988-2ED20BDF17FF}">
  <dimension ref="A1:J17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5" bestFit="1" customWidth="1"/>
    <col min="3" max="3" width="18.6640625" bestFit="1" customWidth="1"/>
    <col min="4" max="4" width="9.16406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1" t="s">
        <v>42</v>
      </c>
    </row>
    <row r="2" spans="1:10" x14ac:dyDescent="0.2">
      <c r="A2" s="1" t="s">
        <v>66</v>
      </c>
    </row>
    <row r="3" spans="1:10" x14ac:dyDescent="0.2">
      <c r="A3" s="1" t="s">
        <v>101</v>
      </c>
    </row>
    <row r="5" spans="1:10" ht="17" thickBot="1" x14ac:dyDescent="0.25"/>
    <row r="6" spans="1:10" x14ac:dyDescent="0.2">
      <c r="B6" s="38"/>
      <c r="C6" s="38" t="s">
        <v>33</v>
      </c>
      <c r="D6" s="38"/>
    </row>
    <row r="7" spans="1:10" ht="17" thickBot="1" x14ac:dyDescent="0.25">
      <c r="B7" s="39" t="s">
        <v>13</v>
      </c>
      <c r="C7" s="39" t="s">
        <v>14</v>
      </c>
      <c r="D7" s="39" t="s">
        <v>30</v>
      </c>
    </row>
    <row r="8" spans="1:10" ht="17" thickBot="1" x14ac:dyDescent="0.25">
      <c r="B8" s="33" t="s">
        <v>67</v>
      </c>
      <c r="C8" s="33" t="s">
        <v>3</v>
      </c>
      <c r="D8" s="36">
        <v>27206.250000000004</v>
      </c>
    </row>
    <row r="10" spans="1:10" ht="17" thickBot="1" x14ac:dyDescent="0.25"/>
    <row r="11" spans="1:10" x14ac:dyDescent="0.2">
      <c r="B11" s="38"/>
      <c r="C11" s="38" t="s">
        <v>43</v>
      </c>
      <c r="D11" s="38"/>
      <c r="F11" s="38" t="s">
        <v>44</v>
      </c>
      <c r="G11" s="38" t="s">
        <v>33</v>
      </c>
      <c r="I11" s="38" t="s">
        <v>47</v>
      </c>
      <c r="J11" s="38" t="s">
        <v>33</v>
      </c>
    </row>
    <row r="12" spans="1:10" ht="17" thickBot="1" x14ac:dyDescent="0.25">
      <c r="B12" s="39" t="s">
        <v>13</v>
      </c>
      <c r="C12" s="39" t="s">
        <v>14</v>
      </c>
      <c r="D12" s="39" t="s">
        <v>30</v>
      </c>
      <c r="F12" s="39" t="s">
        <v>45</v>
      </c>
      <c r="G12" s="39" t="s">
        <v>46</v>
      </c>
      <c r="I12" s="39" t="s">
        <v>45</v>
      </c>
      <c r="J12" s="39" t="s">
        <v>46</v>
      </c>
    </row>
    <row r="13" spans="1:10" x14ac:dyDescent="0.2">
      <c r="B13" s="35" t="s">
        <v>25</v>
      </c>
      <c r="C13" s="35" t="s">
        <v>95</v>
      </c>
      <c r="D13" s="37">
        <v>1062.5</v>
      </c>
      <c r="F13" s="37">
        <v>0</v>
      </c>
      <c r="G13" s="37">
        <v>85</v>
      </c>
      <c r="I13" s="37">
        <v>250</v>
      </c>
      <c r="J13" s="37">
        <v>18835</v>
      </c>
    </row>
    <row r="14" spans="1:10" x14ac:dyDescent="0.2">
      <c r="B14" s="35" t="s">
        <v>68</v>
      </c>
      <c r="C14" s="35" t="s">
        <v>96</v>
      </c>
      <c r="D14" s="37">
        <v>0</v>
      </c>
      <c r="F14" s="37">
        <v>0</v>
      </c>
      <c r="G14" s="37">
        <v>110</v>
      </c>
      <c r="I14" s="37">
        <v>398.5</v>
      </c>
      <c r="J14" s="37">
        <v>20035</v>
      </c>
    </row>
    <row r="15" spans="1:10" x14ac:dyDescent="0.2">
      <c r="B15" s="35" t="s">
        <v>69</v>
      </c>
      <c r="C15" s="35" t="s">
        <v>97</v>
      </c>
      <c r="D15" s="37">
        <v>1187.5000000000002</v>
      </c>
      <c r="F15" s="37">
        <v>0</v>
      </c>
      <c r="G15" s="37">
        <v>125</v>
      </c>
      <c r="I15" s="37">
        <v>597</v>
      </c>
      <c r="J15" s="37">
        <v>21020</v>
      </c>
    </row>
    <row r="16" spans="1:10" x14ac:dyDescent="0.2">
      <c r="B16" s="35" t="s">
        <v>70</v>
      </c>
      <c r="C16" s="35" t="s">
        <v>98</v>
      </c>
      <c r="D16" s="37">
        <v>1799.9999999999998</v>
      </c>
      <c r="F16" s="37"/>
      <c r="G16" s="37"/>
      <c r="I16" s="37"/>
      <c r="J16" s="37"/>
    </row>
    <row r="17" spans="2:10" ht="17" thickBot="1" x14ac:dyDescent="0.25">
      <c r="B17" s="33" t="s">
        <v>71</v>
      </c>
      <c r="C17" s="33" t="s">
        <v>99</v>
      </c>
      <c r="D17" s="36">
        <v>2700.0000000000005</v>
      </c>
      <c r="F17" s="36"/>
      <c r="G17" s="36"/>
      <c r="I17" s="36"/>
      <c r="J17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E44C-C531-6340-AFE7-5BC7223FB1FA}">
  <dimension ref="C1:K20"/>
  <sheetViews>
    <sheetView workbookViewId="0">
      <selection activeCell="H12" sqref="H12"/>
    </sheetView>
  </sheetViews>
  <sheetFormatPr baseColWidth="10" defaultRowHeight="16" x14ac:dyDescent="0.2"/>
  <cols>
    <col min="3" max="3" width="23.6640625" customWidth="1"/>
    <col min="6" max="6" width="9.6640625" customWidth="1"/>
    <col min="7" max="7" width="9" customWidth="1"/>
    <col min="10" max="10" width="5" customWidth="1"/>
  </cols>
  <sheetData>
    <row r="1" spans="3:11" ht="17" thickBot="1" x14ac:dyDescent="0.25"/>
    <row r="2" spans="3:11" ht="17" thickBot="1" x14ac:dyDescent="0.25">
      <c r="C2" s="15"/>
      <c r="D2" s="18" t="s">
        <v>48</v>
      </c>
      <c r="E2" s="7" t="s">
        <v>49</v>
      </c>
      <c r="F2" s="7" t="s">
        <v>50</v>
      </c>
      <c r="G2" s="7" t="s">
        <v>55</v>
      </c>
      <c r="H2" s="7" t="s">
        <v>56</v>
      </c>
      <c r="I2" s="7"/>
      <c r="J2" s="7"/>
      <c r="K2" s="8" t="s">
        <v>60</v>
      </c>
    </row>
    <row r="3" spans="3:11" x14ac:dyDescent="0.2">
      <c r="C3" s="16"/>
      <c r="D3" s="40" t="s">
        <v>0</v>
      </c>
      <c r="E3" s="41" t="s">
        <v>1</v>
      </c>
      <c r="F3" s="41" t="s">
        <v>2</v>
      </c>
      <c r="G3" s="41" t="s">
        <v>61</v>
      </c>
      <c r="H3" s="41" t="s">
        <v>62</v>
      </c>
      <c r="I3" s="5"/>
      <c r="J3" s="5"/>
      <c r="K3" s="19"/>
    </row>
    <row r="4" spans="3:11" x14ac:dyDescent="0.2">
      <c r="C4" s="16" t="s">
        <v>93</v>
      </c>
      <c r="D4" s="42">
        <v>1062.5</v>
      </c>
      <c r="E4" s="43">
        <v>0</v>
      </c>
      <c r="F4" s="43">
        <v>1187.5000000000002</v>
      </c>
      <c r="G4" s="45">
        <v>1799.9999999999998</v>
      </c>
      <c r="H4" s="43">
        <v>2700.0000000000005</v>
      </c>
      <c r="I4" s="3">
        <f>SUM(D4:F4)</f>
        <v>2250</v>
      </c>
      <c r="J4" s="3"/>
      <c r="K4" s="20"/>
    </row>
    <row r="5" spans="3:11" x14ac:dyDescent="0.2">
      <c r="C5" s="16" t="s">
        <v>3</v>
      </c>
      <c r="D5" s="12">
        <v>11.5</v>
      </c>
      <c r="E5" s="3">
        <v>12.3</v>
      </c>
      <c r="F5" s="3">
        <v>13.8</v>
      </c>
      <c r="G5" s="3"/>
      <c r="H5" s="3"/>
      <c r="I5" s="4">
        <f>SUMPRODUCT(D5:F5,D4:F4)-1400</f>
        <v>27206.250000000004</v>
      </c>
      <c r="J5" s="3"/>
      <c r="K5" s="20"/>
    </row>
    <row r="6" spans="3:11" ht="17" thickBot="1" x14ac:dyDescent="0.25">
      <c r="C6" s="16"/>
      <c r="D6" s="9"/>
      <c r="E6" s="9"/>
      <c r="F6" s="9"/>
      <c r="G6" s="9"/>
      <c r="H6" s="9"/>
      <c r="I6" s="9"/>
      <c r="J6" s="9"/>
      <c r="K6" s="21"/>
    </row>
    <row r="7" spans="3:11" ht="17" thickBot="1" x14ac:dyDescent="0.25">
      <c r="C7" s="27"/>
      <c r="D7" s="10"/>
      <c r="E7" s="10"/>
      <c r="F7" s="10"/>
      <c r="G7" s="10" t="s">
        <v>19</v>
      </c>
      <c r="H7" s="10"/>
      <c r="I7" s="10"/>
      <c r="J7" s="10"/>
      <c r="K7" s="11"/>
    </row>
    <row r="8" spans="3:11" x14ac:dyDescent="0.2">
      <c r="C8" s="16" t="s">
        <v>51</v>
      </c>
      <c r="D8" s="13">
        <v>9</v>
      </c>
      <c r="E8" s="6">
        <v>7</v>
      </c>
      <c r="F8" s="6">
        <v>6</v>
      </c>
      <c r="G8" s="6"/>
      <c r="H8" s="6"/>
      <c r="I8" s="6">
        <f>SUMPRODUCT(D8:F8,D4:F4)</f>
        <v>16687.5</v>
      </c>
      <c r="J8" s="6" t="s">
        <v>4</v>
      </c>
      <c r="K8" s="22">
        <v>20000</v>
      </c>
    </row>
    <row r="9" spans="3:11" x14ac:dyDescent="0.2">
      <c r="C9" s="16" t="s">
        <v>52</v>
      </c>
      <c r="D9" s="14">
        <v>8</v>
      </c>
      <c r="E9" s="2">
        <v>8</v>
      </c>
      <c r="F9" s="2">
        <v>8</v>
      </c>
      <c r="G9" s="2"/>
      <c r="H9" s="2"/>
      <c r="I9" s="2">
        <f>SUMPRODUCT(D9:F9,D4:F4)</f>
        <v>18000</v>
      </c>
      <c r="J9" s="2" t="s">
        <v>4</v>
      </c>
      <c r="K9" s="23">
        <v>18000</v>
      </c>
    </row>
    <row r="10" spans="3:11" x14ac:dyDescent="0.2">
      <c r="C10" s="16" t="s">
        <v>53</v>
      </c>
      <c r="D10" s="14">
        <v>60</v>
      </c>
      <c r="E10" s="2">
        <v>120</v>
      </c>
      <c r="F10" s="2">
        <v>100</v>
      </c>
      <c r="G10" s="2"/>
      <c r="H10" s="2"/>
      <c r="I10" s="2">
        <f>SUMPRODUCT(D10:F10,D4:F4)</f>
        <v>182500.00000000003</v>
      </c>
      <c r="J10" s="2" t="s">
        <v>4</v>
      </c>
      <c r="K10" s="23">
        <v>190000</v>
      </c>
    </row>
    <row r="11" spans="3:11" x14ac:dyDescent="0.2">
      <c r="C11" s="16" t="s">
        <v>54</v>
      </c>
      <c r="D11" s="14">
        <v>225</v>
      </c>
      <c r="E11" s="2">
        <v>330</v>
      </c>
      <c r="F11" s="2">
        <v>405</v>
      </c>
      <c r="G11" s="2"/>
      <c r="H11" s="2"/>
      <c r="I11" s="2">
        <f>SUMPRODUCT(D11:F11,D4:F4)</f>
        <v>720000.00000000012</v>
      </c>
      <c r="J11" s="2" t="s">
        <v>4</v>
      </c>
      <c r="K11" s="23">
        <v>720000</v>
      </c>
    </row>
    <row r="12" spans="3:11" x14ac:dyDescent="0.2">
      <c r="C12" s="16" t="s">
        <v>57</v>
      </c>
      <c r="D12" s="14"/>
      <c r="E12" s="2"/>
      <c r="F12" s="2"/>
      <c r="G12" s="2">
        <v>30</v>
      </c>
      <c r="H12" s="2">
        <v>45</v>
      </c>
      <c r="I12" s="2">
        <f>(30*G13)+(45*H14)</f>
        <v>175500</v>
      </c>
      <c r="J12" s="2" t="s">
        <v>4</v>
      </c>
      <c r="K12" s="23">
        <v>360000</v>
      </c>
    </row>
    <row r="13" spans="3:11" x14ac:dyDescent="0.2">
      <c r="C13" s="16" t="s">
        <v>58</v>
      </c>
      <c r="D13" s="14"/>
      <c r="E13" s="2"/>
      <c r="F13" s="2"/>
      <c r="G13" s="2">
        <f>G4</f>
        <v>1799.9999999999998</v>
      </c>
      <c r="H13" s="2"/>
      <c r="I13" s="2"/>
      <c r="J13" s="2" t="s">
        <v>4</v>
      </c>
      <c r="K13" s="23">
        <v>4000</v>
      </c>
    </row>
    <row r="14" spans="3:11" x14ac:dyDescent="0.2">
      <c r="C14" s="16" t="s">
        <v>59</v>
      </c>
      <c r="D14" s="14"/>
      <c r="E14" s="2"/>
      <c r="F14" s="2"/>
      <c r="G14" s="2"/>
      <c r="H14" s="2">
        <f>H4</f>
        <v>2700.0000000000005</v>
      </c>
      <c r="I14" s="2"/>
      <c r="J14" s="2" t="s">
        <v>4</v>
      </c>
      <c r="K14" s="23">
        <v>8000</v>
      </c>
    </row>
    <row r="15" spans="3:11" x14ac:dyDescent="0.2">
      <c r="C15" s="16" t="s">
        <v>63</v>
      </c>
      <c r="D15" s="14"/>
      <c r="E15" s="2"/>
      <c r="F15" s="2"/>
      <c r="G15" s="2"/>
      <c r="H15" s="2"/>
      <c r="I15" s="2">
        <f>3*G4</f>
        <v>5399.9999999999991</v>
      </c>
      <c r="J15" s="2" t="s">
        <v>4</v>
      </c>
      <c r="K15" s="23">
        <f>2*H4</f>
        <v>5400.0000000000009</v>
      </c>
    </row>
    <row r="16" spans="3:11" ht="17" thickBot="1" x14ac:dyDescent="0.25">
      <c r="C16" s="17" t="s">
        <v>94</v>
      </c>
      <c r="D16" s="24"/>
      <c r="E16" s="25"/>
      <c r="F16" s="25"/>
      <c r="G16" s="25"/>
      <c r="H16" s="25"/>
      <c r="I16" s="25">
        <f>SUM(G4:H4)</f>
        <v>4500</v>
      </c>
      <c r="J16" s="44" t="s">
        <v>90</v>
      </c>
      <c r="K16" s="26">
        <f>2*SUM(D4:F4)</f>
        <v>4500</v>
      </c>
    </row>
    <row r="17" spans="3:4" ht="17" thickBot="1" x14ac:dyDescent="0.25">
      <c r="C17" s="9"/>
    </row>
    <row r="18" spans="3:4" x14ac:dyDescent="0.2">
      <c r="C18" s="28" t="s">
        <v>64</v>
      </c>
      <c r="D18" s="29"/>
    </row>
    <row r="19" spans="3:4" x14ac:dyDescent="0.2">
      <c r="C19" s="30" t="s">
        <v>65</v>
      </c>
      <c r="D19" s="31"/>
    </row>
    <row r="20" spans="3:4" ht="17" thickBot="1" x14ac:dyDescent="0.25">
      <c r="C20" s="32" t="s">
        <v>19</v>
      </c>
      <c r="D20" s="26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cp:lastPrinted>2024-10-26T15:22:06Z</cp:lastPrinted>
  <dcterms:created xsi:type="dcterms:W3CDTF">2024-10-15T15:57:41Z</dcterms:created>
  <dcterms:modified xsi:type="dcterms:W3CDTF">2024-10-27T18:16:36Z</dcterms:modified>
</cp:coreProperties>
</file>